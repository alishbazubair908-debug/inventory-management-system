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easury Summary" sheetId="1" r:id="rId1"/>
    <sheet name="Sales Orders" sheetId="2" r:id="rId2"/>
    <sheet name="Payroll" sheetId="3" r:id="rId3"/>
  </sheets>
</workbook>
</file>

<file path=xl/sharedStrings.xml><?xml version="1.0" encoding="utf-8"?>
<sst xmlns="http://schemas.openxmlformats.org/spreadsheetml/2006/main" count="40" uniqueCount="40">
  <si>
    <t xml:space="preserve">CUSTOMER SALES ORDERS</t>
  </si>
  <si>
    <t xml:space="preserve">Total Revenue ($)</t>
  </si>
  <si>
    <t xml:space="preserve">Unit Price ($)</t>
  </si>
  <si>
    <t xml:space="preserve">Quantity</t>
  </si>
  <si>
    <t xml:space="preserve">Product ID</t>
  </si>
  <si>
    <t xml:space="preserve">Customer ID</t>
  </si>
  <si>
    <t xml:space="preserve">Order ID</t>
  </si>
  <si>
    <t xml:space="preserve">ER1</t>
  </si>
  <si>
    <t xml:space="preserve">CR-101</t>
  </si>
  <si>
    <t xml:space="preserve">CUST-ORD-100</t>
  </si>
  <si>
    <t xml:space="preserve">ER2</t>
  </si>
  <si>
    <t xml:space="preserve">CUST-ORD-101</t>
  </si>
  <si>
    <t xml:space="preserve">TOTAL</t>
  </si>
  <si>
    <t xml:space="preserve">EMPLOYEE PAYROLL WORKSHEET</t>
  </si>
  <si>
    <t xml:space="preserve">Calculated Wage ($)</t>
  </si>
  <si>
    <t xml:space="preserve">Shift Factor</t>
  </si>
  <si>
    <t xml:space="preserve">Hours Worked</t>
  </si>
  <si>
    <t xml:space="preserve">Hourly Rate ($)</t>
  </si>
  <si>
    <t xml:space="preserve">Role</t>
  </si>
  <si>
    <t xml:space="preserve">Name</t>
  </si>
  <si>
    <t xml:space="preserve">Employee ID</t>
  </si>
  <si>
    <t xml:space="preserve">Warehouse Manager</t>
  </si>
  <si>
    <t xml:space="preserve">Usman</t>
  </si>
  <si>
    <t xml:space="preserve">WR1</t>
  </si>
  <si>
    <t xml:space="preserve">Stock Keeper</t>
  </si>
  <si>
    <t xml:space="preserve">Sami</t>
  </si>
  <si>
    <t xml:space="preserve">SR1</t>
  </si>
  <si>
    <t xml:space="preserve">Finance Manager</t>
  </si>
  <si>
    <t xml:space="preserve">Ali Ahmad</t>
  </si>
  <si>
    <t xml:space="preserve">FR1</t>
  </si>
  <si>
    <t xml:space="preserve">ALI</t>
  </si>
  <si>
    <t xml:space="preserve">WR2</t>
  </si>
  <si>
    <t xml:space="preserve">TOTAL PAYROLL</t>
  </si>
  <si>
    <t xml:space="preserve">CORPORATE TREASURY SUMMARY</t>
  </si>
  <si>
    <t xml:space="preserve">Capital Funds</t>
  </si>
  <si>
    <t xml:space="preserve">Operating Expenses</t>
  </si>
  <si>
    <t xml:space="preserve">Total Sales Revenue</t>
  </si>
  <si>
    <t xml:space="preserve">Total Payroll Paid</t>
  </si>
  <si>
    <t xml:space="preserve">Estimated Net Worth</t>
  </si>
  <si>
    <t xml:space="preserve">Liquidity Status</t>
  </si>
</sst>
</file>

<file path=xl/styles.xml><?xml version="1.0" encoding="utf-8"?>
<styleSheet xmlns="http://schemas.openxmlformats.org/spreadsheetml/2006/main">
  <numFmts count="1">
    <numFmt numFmtId="164" formatCode="\$#,##0.00;(\$#,##0.00);&quot;-&quot;"/>
  </numFmts>
  <fonts count="6">
    <font>
      <sz val="11"/>
      <name val="Arial"/>
    </font>
    <font>
      <sz val="11"/>
      <name val="Arial"/>
      <color rgb="FF0000FF"/>
    </font>
    <font>
      <sz val="11"/>
      <name val="Arial"/>
      <b/>
    </font>
    <font>
      <sz val="11"/>
      <name val="Arial"/>
      <color rgb="FFFFFFFF"/>
      <b/>
    </font>
    <font>
      <sz val="12"/>
      <name val="Arial"/>
      <b/>
      <color rgb="FF375623"/>
    </font>
    <font>
      <sz val="11"/>
      <name val="Arial"/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Font="1" applyNumberFormat="1"/>
    <xf numFmtId="164" fontId="0" fillId="0" borderId="0" xfId="0" applyNumberFormat="1"/>
    <xf numFmtId="0" fontId="3" fillId="2" borderId="0" xfId="0" applyFont="1" applyFill="1" applyAlignment="1">
      <alignment horizontal="center"/>
    </xf>
    <xf numFmtId="164" fontId="5" fillId="3" borderId="0" xfId="0" applyFont="1" applyFill="1" applyNumberFormat="1"/>
    <xf numFmtId="0" fontId="2" fillId="0" borderId="0" xfId="0" applyFont="1"/>
    <xf numFmtId="164" fontId="4" fillId="4" borderId="0" xfId="0" applyFont="1" applyFill="1" applyNumberFormat="1"/>
    <xf numFmtId="0" fontId="3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    Target="worksheets/sheet1.xml"/><Relationship Id="rId2" Type="http://schemas.openxmlformats.org/officeDocument/2006/relationships/worksheet"     Target="worksheets/sheet2.xml"/><Relationship Id="rId3" Type="http://schemas.openxmlformats.org/officeDocument/2006/relationships/worksheet"    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       Target="styles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22" customWidth="1"/>
  </cols>
  <sheetData>
    <row r="1">
      <c r="A1" t="s" s="7">
        <v>33</v>
      </c>
    </row>
    <row r="3">
      <c r="A3" t="s" s="5">
        <v>34</v>
      </c>
      <c r="B3" s="1">
        <v>500600.00</v>
      </c>
    </row>
    <row r="4">
      <c r="A4" t="s" s="5">
        <v>35</v>
      </c>
      <c r="B4" s="1">
        <v>0.00</v>
      </c>
    </row>
    <row r="5">
      <c r="A5" t="s" s="5">
        <v>36</v>
      </c>
      <c r="B5" s="2">
        <f>'Sales Orders'!F5</f>
      </c>
    </row>
    <row r="6">
      <c r="A6" t="s" s="5">
        <v>37</v>
      </c>
      <c r="B6" s="2">
        <f>Payroll!G7</f>
      </c>
    </row>
    <row r="8">
      <c r="A8" t="s" s="5">
        <v>38</v>
      </c>
      <c r="B8" s="6">
        <f>B3+B5-B4-B6</f>
      </c>
    </row>
    <row r="10">
      <c r="A10" t="s" s="5">
        <v>39</v>
      </c>
      <c r="B10" s="5">
        <f>IF(B3&gt;B5*0.15,"Healthy","Low Capital")</f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6" customWidth="1"/>
    <col min="3" max="3" width="16" customWidth="1"/>
    <col min="4" max="4" width="12" customWidth="1"/>
    <col min="5" max="5" width="18" customWidth="1"/>
    <col min="6" max="6" width="22" customWidth="1"/>
  </cols>
  <sheetData>
    <row r="1">
      <c r="A1" t="s" s="7">
        <v>0</v>
      </c>
    </row>
    <row r="2">
      <c r="A2" t="s" s="3">
        <v>6</v>
      </c>
      <c r="B2" t="s" s="3">
        <v>5</v>
      </c>
      <c r="C2" t="s" s="3">
        <v>4</v>
      </c>
      <c r="D2" t="s" s="3">
        <v>3</v>
      </c>
      <c r="E2" t="s" s="3">
        <v>2</v>
      </c>
      <c r="F2" t="s" s="3">
        <v>1</v>
      </c>
    </row>
    <row r="3">
      <c r="A3" t="s" s="0">
        <v>9</v>
      </c>
      <c r="B3" t="s" s="0">
        <v>8</v>
      </c>
      <c r="C3" t="s" s="0">
        <v>7</v>
      </c>
      <c r="D3" s="0">
        <v>1.00</v>
      </c>
      <c r="E3" s="1">
        <v>280.00</v>
      </c>
      <c r="F3" s="2">
        <f>D3*E3</f>
      </c>
    </row>
    <row r="4">
      <c r="A4" t="s" s="0">
        <v>11</v>
      </c>
      <c r="B4" t="s" s="0">
        <v>8</v>
      </c>
      <c r="C4" t="s" s="0">
        <v>10</v>
      </c>
      <c r="D4" s="0">
        <v>2.00</v>
      </c>
      <c r="E4" s="1">
        <v>300.00</v>
      </c>
      <c r="F4" s="2">
        <f>D4*E4</f>
      </c>
    </row>
    <row r="5">
      <c r="E5" t="s" s="5">
        <v>12</v>
      </c>
      <c r="F5" s="4">
        <f>SUM(F3:F4)</f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22" customWidth="1"/>
    <col min="3" max="3" width="22" customWidth="1"/>
    <col min="4" max="4" width="16" customWidth="1"/>
    <col min="5" max="5" width="14" customWidth="1"/>
    <col min="6" max="6" width="14" customWidth="1"/>
    <col min="7" max="7" width="20" customWidth="1"/>
  </cols>
  <sheetData>
    <row r="1">
      <c r="A1" t="s" s="7">
        <v>13</v>
      </c>
    </row>
    <row r="2">
      <c r="A2" t="s" s="3">
        <v>20</v>
      </c>
      <c r="B2" t="s" s="3">
        <v>19</v>
      </c>
      <c r="C2" t="s" s="3">
        <v>18</v>
      </c>
      <c r="D2" t="s" s="3">
        <v>17</v>
      </c>
      <c r="E2" t="s" s="3">
        <v>16</v>
      </c>
      <c r="F2" t="s" s="3">
        <v>15</v>
      </c>
      <c r="G2" t="s" s="3">
        <v>14</v>
      </c>
    </row>
    <row r="3">
      <c r="A3" t="s" s="0">
        <v>23</v>
      </c>
      <c r="B3" t="s" s="0">
        <v>22</v>
      </c>
      <c r="C3" t="s" s="0">
        <v>21</v>
      </c>
      <c r="D3" s="1">
        <v>12.00</v>
      </c>
      <c r="E3" s="1">
        <v>235.00</v>
      </c>
      <c r="F3" s="1">
        <v>1.00</v>
      </c>
      <c r="G3" s="2">
        <f>D3*E3*F3</f>
      </c>
    </row>
    <row r="4">
      <c r="A4" t="s" s="0">
        <v>26</v>
      </c>
      <c r="B4" t="s" s="0">
        <v>25</v>
      </c>
      <c r="C4" t="s" s="0">
        <v>24</v>
      </c>
      <c r="D4" s="1">
        <v>12.00</v>
      </c>
      <c r="E4" s="1">
        <v>234.00</v>
      </c>
      <c r="F4" s="1">
        <v>1.20</v>
      </c>
      <c r="G4" s="2">
        <f>D4*E4*F4</f>
      </c>
    </row>
    <row r="5">
      <c r="A5" t="s" s="0">
        <v>29</v>
      </c>
      <c r="B5" t="s" s="0">
        <v>28</v>
      </c>
      <c r="C5" t="s" s="0">
        <v>27</v>
      </c>
      <c r="D5" s="1">
        <v>0.00</v>
      </c>
      <c r="E5" s="1">
        <v>0.00</v>
      </c>
      <c r="F5" s="1">
        <v>1.00</v>
      </c>
      <c r="G5" s="2">
        <v>300.00</v>
      </c>
    </row>
    <row r="6">
      <c r="A6" t="s" s="0">
        <v>31</v>
      </c>
      <c r="B6" t="s" s="0">
        <v>30</v>
      </c>
      <c r="C6" t="s" s="0">
        <v>21</v>
      </c>
      <c r="D6" s="1">
        <v>24.00</v>
      </c>
      <c r="E6" s="1">
        <v>0.00</v>
      </c>
      <c r="F6" s="1">
        <v>1.20</v>
      </c>
      <c r="G6" s="2">
        <f>D6*E6*F6</f>
      </c>
    </row>
    <row r="7">
      <c r="F7" t="s" s="5">
        <v>32</v>
      </c>
      <c r="G7" s="4">
        <f>SUM(G3:G6)</f>
      </c>
    </row>
  </sheetData>
</worksheet>
</file>